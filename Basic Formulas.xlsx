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Excel-Practice\01 Basic Formulas\"/>
    </mc:Choice>
  </mc:AlternateContent>
  <xr:revisionPtr revIDLastSave="0" documentId="13_ncr:1_{693F3A17-5754-40E5-B7CB-F2FEE52A3B0A}" xr6:coauthVersionLast="47" xr6:coauthVersionMax="47" xr10:uidLastSave="{00000000-0000-0000-0000-000000000000}"/>
  <bookViews>
    <workbookView xWindow="9510" yWindow="0" windowWidth="9780" windowHeight="10170" firstSheet="1" activeTab="2" xr2:uid="{D84D1802-5317-49CC-B97C-9D40789C90E5}"/>
  </bookViews>
  <sheets>
    <sheet name="Sheet1" sheetId="1" r:id="rId1"/>
    <sheet name="Sheet 2" sheetId="4" r:id="rId2"/>
    <sheet name="Shee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2" i="3" l="1"/>
  <c r="L13" i="3"/>
  <c r="L11" i="3"/>
  <c r="I4" i="3" a="1"/>
  <c r="I4" i="3" s="1"/>
  <c r="L8" i="3"/>
  <c r="L9" i="3"/>
  <c r="L6" i="3"/>
  <c r="L5" i="3"/>
  <c r="L4" i="3"/>
  <c r="L7" i="3"/>
  <c r="L13" i="4"/>
  <c r="L12" i="4"/>
  <c r="L11" i="4"/>
  <c r="I4" i="4" a="1"/>
  <c r="I4" i="4" s="1"/>
  <c r="L9" i="4"/>
  <c r="L8" i="4"/>
  <c r="L6" i="4"/>
  <c r="L5" i="4"/>
  <c r="L4" i="4"/>
  <c r="L7" i="4"/>
  <c r="L11" i="1"/>
  <c r="L13" i="1"/>
  <c r="L12" i="1"/>
  <c r="I5" i="1"/>
  <c r="I6" i="1"/>
  <c r="I7" i="1"/>
  <c r="I8" i="1"/>
  <c r="I9" i="1"/>
  <c r="I10" i="1"/>
  <c r="I4" i="1"/>
  <c r="L9" i="1"/>
  <c r="L8" i="1"/>
  <c r="L7" i="1"/>
  <c r="L6" i="1"/>
  <c r="L5" i="1"/>
  <c r="L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<sst xmlns="http://schemas.openxmlformats.org/spreadsheetml/2006/main" count="184" uniqueCount="122">
  <si>
    <t>SUM</t>
  </si>
  <si>
    <t>SUMIF</t>
  </si>
  <si>
    <t>Jakarta</t>
  </si>
  <si>
    <t>Bandung</t>
  </si>
  <si>
    <t>Target</t>
  </si>
  <si>
    <t>Andi</t>
  </si>
  <si>
    <t>Budi</t>
  </si>
  <si>
    <t>Surabaya</t>
  </si>
  <si>
    <t>Sales Performance Analysis</t>
  </si>
  <si>
    <t>Date</t>
  </si>
  <si>
    <t>Product</t>
  </si>
  <si>
    <t>Category</t>
  </si>
  <si>
    <t>Region</t>
  </si>
  <si>
    <t>Quantity</t>
  </si>
  <si>
    <t>Sales</t>
  </si>
  <si>
    <t>Coffee Beans</t>
  </si>
  <si>
    <t>Beverage</t>
  </si>
  <si>
    <t>Yes</t>
  </si>
  <si>
    <t>Matcha Latte</t>
  </si>
  <si>
    <t>No</t>
  </si>
  <si>
    <t>Croissant</t>
  </si>
  <si>
    <t>Bakery</t>
  </si>
  <si>
    <t>Cheesecake</t>
  </si>
  <si>
    <t>Dessert</t>
  </si>
  <si>
    <t>Iced Americano</t>
  </si>
  <si>
    <t>Garlic Bread</t>
  </si>
  <si>
    <t>Red Velvet Cake</t>
  </si>
  <si>
    <t>Summary</t>
  </si>
  <si>
    <t>Fungsi</t>
  </si>
  <si>
    <t>Rumus</t>
  </si>
  <si>
    <t>Total Sales</t>
  </si>
  <si>
    <t>Average Sales</t>
  </si>
  <si>
    <t>Minimum Sales</t>
  </si>
  <si>
    <t>Maximum Sales</t>
  </si>
  <si>
    <t>Jumlah Transaksi</t>
  </si>
  <si>
    <t>Jumlah Produk</t>
  </si>
  <si>
    <t>Total Sales Beverage</t>
  </si>
  <si>
    <t>Jumlah Target "Yes"</t>
  </si>
  <si>
    <t>Average Sales Region</t>
  </si>
  <si>
    <t>Sales IF</t>
  </si>
  <si>
    <t>AVERAGE</t>
  </si>
  <si>
    <t>MIN</t>
  </si>
  <si>
    <t>MAX</t>
  </si>
  <si>
    <t>COUNT</t>
  </si>
  <si>
    <t>COUNTA</t>
  </si>
  <si>
    <t>COUNTIF</t>
  </si>
  <si>
    <t>AVERAGEIF</t>
  </si>
  <si>
    <t>Employee Attandance Analysis</t>
  </si>
  <si>
    <t>Employee_ID</t>
  </si>
  <si>
    <t>Name</t>
  </si>
  <si>
    <t>Department</t>
  </si>
  <si>
    <t>Days_Present</t>
  </si>
  <si>
    <t>Overtime_Hours</t>
  </si>
  <si>
    <t>Salary</t>
  </si>
  <si>
    <t>Status</t>
  </si>
  <si>
    <t>E001</t>
  </si>
  <si>
    <t>Finance</t>
  </si>
  <si>
    <t>Permanent</t>
  </si>
  <si>
    <t>E002</t>
  </si>
  <si>
    <t>Sinta</t>
  </si>
  <si>
    <t>Marketing</t>
  </si>
  <si>
    <t>Contract</t>
  </si>
  <si>
    <t>E003</t>
  </si>
  <si>
    <t>Rizky</t>
  </si>
  <si>
    <t>IT</t>
  </si>
  <si>
    <t>E004</t>
  </si>
  <si>
    <t>Dinda</t>
  </si>
  <si>
    <t>HR</t>
  </si>
  <si>
    <t>E005</t>
  </si>
  <si>
    <t>Fajar</t>
  </si>
  <si>
    <t>E006</t>
  </si>
  <si>
    <t>Nabila</t>
  </si>
  <si>
    <t>E007</t>
  </si>
  <si>
    <t>Total Overtime Hours</t>
  </si>
  <si>
    <t>Average Salary</t>
  </si>
  <si>
    <t>Minimum Salary</t>
  </si>
  <si>
    <t>Maximum Salary</t>
  </si>
  <si>
    <t>Jumlah Employee Salary Data</t>
  </si>
  <si>
    <t>Jumlah Nama Employee</t>
  </si>
  <si>
    <t>IF</t>
  </si>
  <si>
    <t>Jumlah Salary Departement IT</t>
  </si>
  <si>
    <t>Jumlah Status Permanent</t>
  </si>
  <si>
    <t>Average Salary Finance</t>
  </si>
  <si>
    <t>Order_ID</t>
  </si>
  <si>
    <t>Customer</t>
  </si>
  <si>
    <t>City</t>
  </si>
  <si>
    <t>Order_Total</t>
  </si>
  <si>
    <t>Payment_Status</t>
  </si>
  <si>
    <t>ORD001</t>
  </si>
  <si>
    <t>Clara</t>
  </si>
  <si>
    <t>Keyboard</t>
  </si>
  <si>
    <t>Paid</t>
  </si>
  <si>
    <t>ORD002</t>
  </si>
  <si>
    <t>Daniel</t>
  </si>
  <si>
    <t>Mouse</t>
  </si>
  <si>
    <t>Pending</t>
  </si>
  <si>
    <t>ORD003</t>
  </si>
  <si>
    <t>Kevin</t>
  </si>
  <si>
    <t>Monitor</t>
  </si>
  <si>
    <t>ORD004</t>
  </si>
  <si>
    <t>Alya</t>
  </si>
  <si>
    <t>Headset</t>
  </si>
  <si>
    <t>ORD005</t>
  </si>
  <si>
    <t>Rina</t>
  </si>
  <si>
    <t>Webcam</t>
  </si>
  <si>
    <t>ORD006</t>
  </si>
  <si>
    <t>Farhan</t>
  </si>
  <si>
    <t>Medan</t>
  </si>
  <si>
    <t>Laptop Stand</t>
  </si>
  <si>
    <t>ORD007</t>
  </si>
  <si>
    <t>Vina</t>
  </si>
  <si>
    <t>SSD</t>
  </si>
  <si>
    <t>Online Store Order Analysis</t>
  </si>
  <si>
    <t>Total Order Revenue</t>
  </si>
  <si>
    <t>Average Order Total</t>
  </si>
  <si>
    <t>Minimum Order Total</t>
  </si>
  <si>
    <t>Maximum Order Total</t>
  </si>
  <si>
    <t>Jumlah Order Total Data</t>
  </si>
  <si>
    <t>Jumlah Costumer</t>
  </si>
  <si>
    <t>Total Revenue Jakarta</t>
  </si>
  <si>
    <t>Jumlah Status Paid</t>
  </si>
  <si>
    <t>Average Ordar Total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</si>
</sst>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41" fontId="0" fillId="0" borderId="1" xfId="1" applyFont="1" applyBorder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A5DC-2F9E-40DC-A4D4-2392AB7AD09E}">
  <dimension ref="A1:M23"/>
  <sheetViews>
    <sheetView zoomScaleNormal="100" workbookViewId="0">
      <selection activeCell="K3" sqref="K3:M3"/>
    </sheetView>
  </sheetViews>
  <sheetFormatPr defaultRowHeight="14.5" x14ac:dyDescent="0.35"/>
  <cols>
    <col min="1" max="1" width="1.7265625" customWidth="1"/>
    <col min="2" max="2" width="11.36328125" customWidth="1"/>
    <col min="3" max="3" width="13.90625" bestFit="1" customWidth="1"/>
    <col min="9" max="9" width="10.26953125" customWidth="1"/>
    <col min="10" max="10" width="3.1796875" customWidth="1"/>
    <col min="11" max="11" width="20.36328125" bestFit="1" customWidth="1"/>
    <col min="12" max="12" width="11.81640625" bestFit="1" customWidth="1"/>
    <col min="13" max="13" width="9.90625" bestFit="1" customWidth="1"/>
  </cols>
  <sheetData>
    <row r="1" spans="1:13" x14ac:dyDescent="0.35">
      <c r="A1" s="1"/>
      <c r="B1" s="1"/>
      <c r="C1" s="1"/>
      <c r="D1" s="1"/>
      <c r="E1" s="1"/>
      <c r="F1" s="1"/>
      <c r="G1" s="1"/>
    </row>
    <row r="2" spans="1:13" ht="34.5" x14ac:dyDescent="0.8">
      <c r="B2" s="14" t="s">
        <v>8</v>
      </c>
      <c r="C2" s="14"/>
      <c r="D2" s="14"/>
      <c r="E2" s="14"/>
      <c r="F2" s="14"/>
      <c r="G2" s="14"/>
      <c r="H2" s="14"/>
      <c r="K2" s="4" t="s">
        <v>27</v>
      </c>
    </row>
    <row r="3" spans="1:13" x14ac:dyDescent="0.35">
      <c r="B3" s="12" t="s">
        <v>9</v>
      </c>
      <c r="C3" s="12" t="s">
        <v>10</v>
      </c>
      <c r="D3" s="12" t="s">
        <v>11</v>
      </c>
      <c r="E3" s="12" t="s">
        <v>12</v>
      </c>
      <c r="F3" s="12" t="s">
        <v>13</v>
      </c>
      <c r="G3" s="12" t="s">
        <v>14</v>
      </c>
      <c r="H3" s="12" t="s">
        <v>4</v>
      </c>
      <c r="I3" s="13" t="s">
        <v>39</v>
      </c>
      <c r="K3" s="18" t="s">
        <v>11</v>
      </c>
      <c r="L3" s="18" t="s">
        <v>28</v>
      </c>
      <c r="M3" s="18" t="s">
        <v>29</v>
      </c>
    </row>
    <row r="4" spans="1:13" x14ac:dyDescent="0.35">
      <c r="B4" s="6">
        <v>46143</v>
      </c>
      <c r="C4" s="7" t="s">
        <v>15</v>
      </c>
      <c r="D4" s="7" t="s">
        <v>16</v>
      </c>
      <c r="E4" s="7" t="s">
        <v>2</v>
      </c>
      <c r="F4" s="8">
        <v>15</v>
      </c>
      <c r="G4" s="9">
        <v>750000</v>
      </c>
      <c r="H4" s="10" t="s">
        <v>17</v>
      </c>
      <c r="I4" s="5" t="str">
        <f>IF(G4&gt;400000,"High","Low")</f>
        <v>High</v>
      </c>
      <c r="K4" s="9" t="s">
        <v>30</v>
      </c>
      <c r="L4" s="15">
        <f>SUM(G4:G10)</f>
        <v>2845000</v>
      </c>
      <c r="M4" s="9" t="s">
        <v>0</v>
      </c>
    </row>
    <row r="5" spans="1:13" x14ac:dyDescent="0.35">
      <c r="B5" s="6">
        <v>46144</v>
      </c>
      <c r="C5" s="7" t="s">
        <v>18</v>
      </c>
      <c r="D5" s="7" t="s">
        <v>16</v>
      </c>
      <c r="E5" s="7" t="s">
        <v>3</v>
      </c>
      <c r="F5" s="8">
        <v>8</v>
      </c>
      <c r="G5" s="9">
        <v>320000</v>
      </c>
      <c r="H5" s="10" t="s">
        <v>19</v>
      </c>
      <c r="I5" s="5" t="str">
        <f t="shared" ref="I5:I10" si="0">IF(G5&gt;400000,"High","Low")</f>
        <v>Low</v>
      </c>
      <c r="K5" s="9" t="s">
        <v>31</v>
      </c>
      <c r="L5" s="15">
        <f>AVERAGE(G4:G10)</f>
        <v>406428.57142857142</v>
      </c>
      <c r="M5" s="9" t="s">
        <v>40</v>
      </c>
    </row>
    <row r="6" spans="1:13" x14ac:dyDescent="0.35">
      <c r="B6" s="6">
        <v>46145</v>
      </c>
      <c r="C6" s="7" t="s">
        <v>20</v>
      </c>
      <c r="D6" s="7" t="s">
        <v>21</v>
      </c>
      <c r="E6" s="7" t="s">
        <v>2</v>
      </c>
      <c r="F6" s="8">
        <v>20</v>
      </c>
      <c r="G6" s="9">
        <v>400000</v>
      </c>
      <c r="H6" s="10" t="s">
        <v>17</v>
      </c>
      <c r="I6" s="5" t="str">
        <f t="shared" si="0"/>
        <v>Low</v>
      </c>
      <c r="K6" s="9" t="s">
        <v>32</v>
      </c>
      <c r="L6" s="15">
        <f>MIN(G4:G10)</f>
        <v>200000</v>
      </c>
      <c r="M6" s="9" t="s">
        <v>41</v>
      </c>
    </row>
    <row r="7" spans="1:13" x14ac:dyDescent="0.35">
      <c r="B7" s="6">
        <v>46146</v>
      </c>
      <c r="C7" s="7" t="s">
        <v>22</v>
      </c>
      <c r="D7" s="7" t="s">
        <v>23</v>
      </c>
      <c r="E7" s="7" t="s">
        <v>7</v>
      </c>
      <c r="F7" s="8">
        <v>5</v>
      </c>
      <c r="G7" s="9">
        <v>275000</v>
      </c>
      <c r="H7" s="10" t="s">
        <v>19</v>
      </c>
      <c r="I7" s="5" t="str">
        <f t="shared" si="0"/>
        <v>Low</v>
      </c>
      <c r="K7" s="9" t="s">
        <v>33</v>
      </c>
      <c r="L7" s="15">
        <f>MAX(G4:G10)</f>
        <v>750000</v>
      </c>
      <c r="M7" s="9" t="s">
        <v>42</v>
      </c>
    </row>
    <row r="8" spans="1:13" x14ac:dyDescent="0.35">
      <c r="B8" s="6">
        <v>46147</v>
      </c>
      <c r="C8" s="7" t="s">
        <v>24</v>
      </c>
      <c r="D8" s="7" t="s">
        <v>16</v>
      </c>
      <c r="E8" s="7" t="s">
        <v>3</v>
      </c>
      <c r="F8" s="8">
        <v>18</v>
      </c>
      <c r="G8" s="9">
        <v>540000</v>
      </c>
      <c r="H8" s="10" t="s">
        <v>17</v>
      </c>
      <c r="I8" s="5" t="str">
        <f t="shared" si="0"/>
        <v>High</v>
      </c>
      <c r="K8" s="9" t="s">
        <v>34</v>
      </c>
      <c r="L8" s="15">
        <f>COUNT(F4:F10)</f>
        <v>7</v>
      </c>
      <c r="M8" s="9" t="s">
        <v>43</v>
      </c>
    </row>
    <row r="9" spans="1:13" x14ac:dyDescent="0.35">
      <c r="B9" s="6">
        <v>46148</v>
      </c>
      <c r="C9" s="7" t="s">
        <v>25</v>
      </c>
      <c r="D9" s="7" t="s">
        <v>21</v>
      </c>
      <c r="E9" s="7" t="s">
        <v>2</v>
      </c>
      <c r="F9" s="8">
        <v>10</v>
      </c>
      <c r="G9" s="9">
        <v>200000</v>
      </c>
      <c r="H9" s="10" t="s">
        <v>17</v>
      </c>
      <c r="I9" s="5" t="str">
        <f t="shared" si="0"/>
        <v>Low</v>
      </c>
      <c r="K9" s="9" t="s">
        <v>35</v>
      </c>
      <c r="L9" s="15">
        <f>COUNTA(C4:C10)</f>
        <v>7</v>
      </c>
      <c r="M9" s="9" t="s">
        <v>44</v>
      </c>
    </row>
    <row r="10" spans="1:13" x14ac:dyDescent="0.35">
      <c r="B10" s="6">
        <v>46149</v>
      </c>
      <c r="C10" s="7" t="s">
        <v>26</v>
      </c>
      <c r="D10" s="11" t="s">
        <v>23</v>
      </c>
      <c r="E10" s="7" t="s">
        <v>7</v>
      </c>
      <c r="F10" s="8">
        <v>4</v>
      </c>
      <c r="G10" s="9">
        <v>360000</v>
      </c>
      <c r="H10" s="10" t="s">
        <v>19</v>
      </c>
      <c r="I10" s="5" t="str">
        <f t="shared" si="0"/>
        <v>Low</v>
      </c>
      <c r="K10" s="9"/>
      <c r="L10" s="15"/>
      <c r="M10" s="9"/>
    </row>
    <row r="11" spans="1:13" x14ac:dyDescent="0.35">
      <c r="D11" s="2"/>
      <c r="K11" s="9" t="s">
        <v>36</v>
      </c>
      <c r="L11" s="15">
        <f>SUMIF(D4:D10,"Beverage",G4:G10)</f>
        <v>1610000</v>
      </c>
      <c r="M11" s="9" t="s">
        <v>1</v>
      </c>
    </row>
    <row r="12" spans="1:13" x14ac:dyDescent="0.35">
      <c r="D12" s="3"/>
      <c r="G12" s="1"/>
      <c r="K12" s="9" t="s">
        <v>37</v>
      </c>
      <c r="L12" s="15">
        <f>COUNTIF(H4:H10,"yes")</f>
        <v>4</v>
      </c>
      <c r="M12" s="9" t="s">
        <v>45</v>
      </c>
    </row>
    <row r="13" spans="1:13" x14ac:dyDescent="0.35">
      <c r="A13" s="1"/>
      <c r="D13" s="3"/>
      <c r="K13" s="9" t="s">
        <v>38</v>
      </c>
      <c r="L13" s="15">
        <f>AVERAGEIF(E4:E10,"bandung",G4:G10)</f>
        <v>430000</v>
      </c>
      <c r="M13" s="9" t="s">
        <v>46</v>
      </c>
    </row>
    <row r="14" spans="1:13" x14ac:dyDescent="0.35">
      <c r="D14" s="3"/>
    </row>
    <row r="15" spans="1:13" x14ac:dyDescent="0.35">
      <c r="A15" s="1"/>
      <c r="D15" s="3"/>
    </row>
    <row r="16" spans="1:13" x14ac:dyDescent="0.35">
      <c r="D16" s="3"/>
    </row>
    <row r="17" spans="1:1" x14ac:dyDescent="0.35">
      <c r="A17" s="1"/>
    </row>
    <row r="19" spans="1:1" x14ac:dyDescent="0.35">
      <c r="A19" s="1"/>
    </row>
    <row r="21" spans="1:1" x14ac:dyDescent="0.35">
      <c r="A21" s="1"/>
    </row>
    <row r="23" spans="1:1" x14ac:dyDescent="0.35">
      <c r="A23" s="1"/>
    </row>
  </sheetData>
  <mergeCells count="1">
    <mergeCell ref="B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4EBC-960E-4A19-B208-66083A438D43}">
  <dimension ref="A1:M23"/>
  <sheetViews>
    <sheetView topLeftCell="A2" workbookViewId="0">
      <selection activeCell="K3" sqref="K3:M3"/>
    </sheetView>
  </sheetViews>
  <sheetFormatPr defaultRowHeight="14.5" x14ac:dyDescent="0.35"/>
  <cols>
    <col min="1" max="1" width="1.7265625" customWidth="1"/>
    <col min="2" max="2" width="11.36328125" customWidth="1"/>
    <col min="3" max="3" width="9.453125" customWidth="1"/>
    <col min="4" max="4" width="12.1796875" customWidth="1"/>
    <col min="5" max="5" width="12.08984375" bestFit="1" customWidth="1"/>
    <col min="6" max="6" width="14.26953125" bestFit="1" customWidth="1"/>
    <col min="7" max="7" width="10.1796875" bestFit="1" customWidth="1"/>
    <col min="8" max="8" width="9.7265625" bestFit="1" customWidth="1"/>
    <col min="9" max="9" width="17.1796875" bestFit="1" customWidth="1"/>
    <col min="10" max="10" width="4" customWidth="1"/>
    <col min="11" max="11" width="24.453125" bestFit="1" customWidth="1"/>
    <col min="12" max="12" width="11.1796875" bestFit="1" customWidth="1"/>
    <col min="13" max="13" width="9.90625" bestFit="1" customWidth="1"/>
  </cols>
  <sheetData>
    <row r="1" spans="1:13" x14ac:dyDescent="0.35">
      <c r="A1" s="1"/>
      <c r="B1" s="1"/>
      <c r="C1" s="1"/>
      <c r="D1" s="1"/>
      <c r="E1" s="1"/>
      <c r="F1" s="1"/>
      <c r="G1" s="1"/>
    </row>
    <row r="2" spans="1:13" ht="34.5" x14ac:dyDescent="0.8">
      <c r="B2" s="4" t="s">
        <v>47</v>
      </c>
      <c r="J2" s="1"/>
      <c r="K2" s="4" t="s">
        <v>27</v>
      </c>
    </row>
    <row r="3" spans="1:13" x14ac:dyDescent="0.35">
      <c r="B3" s="16" t="s">
        <v>48</v>
      </c>
      <c r="C3" s="16" t="s">
        <v>49</v>
      </c>
      <c r="D3" s="16" t="s">
        <v>50</v>
      </c>
      <c r="E3" s="16" t="s">
        <v>51</v>
      </c>
      <c r="F3" s="16" t="s">
        <v>52</v>
      </c>
      <c r="G3" s="16" t="s">
        <v>53</v>
      </c>
      <c r="H3" s="16" t="s">
        <v>54</v>
      </c>
      <c r="I3" s="17" t="s">
        <v>79</v>
      </c>
      <c r="J3" s="1"/>
      <c r="K3" s="18" t="s">
        <v>11</v>
      </c>
      <c r="L3" s="18" t="s">
        <v>28</v>
      </c>
      <c r="M3" s="18" t="s">
        <v>29</v>
      </c>
    </row>
    <row r="4" spans="1:13" x14ac:dyDescent="0.35">
      <c r="B4" s="6" t="s">
        <v>55</v>
      </c>
      <c r="C4" s="7" t="s">
        <v>5</v>
      </c>
      <c r="D4" s="7" t="s">
        <v>56</v>
      </c>
      <c r="E4" s="8">
        <v>22</v>
      </c>
      <c r="F4" s="8">
        <v>5</v>
      </c>
      <c r="G4" s="15">
        <v>6500000</v>
      </c>
      <c r="H4" s="10" t="s">
        <v>57</v>
      </c>
      <c r="I4" s="9" t="str" cm="1">
        <f t="array" ref="I4:I10">IF(E4:E10&gt;=22,"Good Attendance","Needs Improvement")</f>
        <v>Good Attendance</v>
      </c>
      <c r="K4" s="9" t="s">
        <v>73</v>
      </c>
      <c r="L4" s="15">
        <f>SUM(F4:F10)</f>
        <v>26</v>
      </c>
      <c r="M4" s="9" t="s">
        <v>0</v>
      </c>
    </row>
    <row r="5" spans="1:13" x14ac:dyDescent="0.35">
      <c r="B5" s="6" t="s">
        <v>58</v>
      </c>
      <c r="C5" s="7" t="s">
        <v>59</v>
      </c>
      <c r="D5" s="7" t="s">
        <v>60</v>
      </c>
      <c r="E5" s="8">
        <v>18</v>
      </c>
      <c r="F5" s="8">
        <v>2</v>
      </c>
      <c r="G5" s="15">
        <v>5500000</v>
      </c>
      <c r="H5" s="10" t="s">
        <v>61</v>
      </c>
      <c r="I5" s="9" t="str">
        <v>Needs Improvement</v>
      </c>
      <c r="K5" s="9" t="s">
        <v>74</v>
      </c>
      <c r="L5" s="15">
        <f>AVERAGE(G4:G10)</f>
        <v>6528571.4285714282</v>
      </c>
      <c r="M5" s="9" t="s">
        <v>40</v>
      </c>
    </row>
    <row r="6" spans="1:13" x14ac:dyDescent="0.35">
      <c r="B6" s="6" t="s">
        <v>62</v>
      </c>
      <c r="C6" s="7" t="s">
        <v>63</v>
      </c>
      <c r="D6" s="7" t="s">
        <v>64</v>
      </c>
      <c r="E6" s="8">
        <v>25</v>
      </c>
      <c r="F6" s="8">
        <v>8</v>
      </c>
      <c r="G6" s="15">
        <v>8000000</v>
      </c>
      <c r="H6" s="10" t="s">
        <v>57</v>
      </c>
      <c r="I6" s="9" t="str">
        <v>Good Attendance</v>
      </c>
      <c r="K6" s="9" t="s">
        <v>75</v>
      </c>
      <c r="L6" s="15">
        <f>MIN(G4:G10)</f>
        <v>5500000</v>
      </c>
      <c r="M6" s="9" t="s">
        <v>41</v>
      </c>
    </row>
    <row r="7" spans="1:13" x14ac:dyDescent="0.35">
      <c r="B7" s="6" t="s">
        <v>65</v>
      </c>
      <c r="C7" s="7" t="s">
        <v>66</v>
      </c>
      <c r="D7" s="7" t="s">
        <v>67</v>
      </c>
      <c r="E7" s="8">
        <v>20</v>
      </c>
      <c r="F7" s="8">
        <v>1</v>
      </c>
      <c r="G7" s="15">
        <v>6000000</v>
      </c>
      <c r="H7" s="10" t="s">
        <v>61</v>
      </c>
      <c r="I7" s="9" t="str">
        <v>Needs Improvement</v>
      </c>
      <c r="K7" s="9" t="s">
        <v>76</v>
      </c>
      <c r="L7" s="15">
        <f>MAX(G4:G10)</f>
        <v>8000000</v>
      </c>
      <c r="M7" s="9" t="s">
        <v>42</v>
      </c>
    </row>
    <row r="8" spans="1:13" x14ac:dyDescent="0.35">
      <c r="B8" s="6" t="s">
        <v>68</v>
      </c>
      <c r="C8" s="7" t="s">
        <v>69</v>
      </c>
      <c r="D8" s="7" t="s">
        <v>64</v>
      </c>
      <c r="E8" s="8">
        <v>24</v>
      </c>
      <c r="F8" s="8">
        <v>6</v>
      </c>
      <c r="G8" s="15">
        <v>7800000</v>
      </c>
      <c r="H8" s="10" t="s">
        <v>57</v>
      </c>
      <c r="I8" s="9" t="str">
        <v>Good Attendance</v>
      </c>
      <c r="K8" s="9" t="s">
        <v>77</v>
      </c>
      <c r="L8" s="15">
        <f>COUNT(G4:G10)</f>
        <v>7</v>
      </c>
      <c r="M8" s="9" t="s">
        <v>43</v>
      </c>
    </row>
    <row r="9" spans="1:13" x14ac:dyDescent="0.35">
      <c r="B9" s="6" t="s">
        <v>70</v>
      </c>
      <c r="C9" s="7" t="s">
        <v>71</v>
      </c>
      <c r="D9" s="7" t="s">
        <v>56</v>
      </c>
      <c r="E9" s="8">
        <v>19</v>
      </c>
      <c r="F9" s="8">
        <v>0</v>
      </c>
      <c r="G9" s="15">
        <v>6200000</v>
      </c>
      <c r="H9" s="10" t="s">
        <v>61</v>
      </c>
      <c r="I9" s="9" t="str">
        <v>Needs Improvement</v>
      </c>
      <c r="K9" s="9" t="s">
        <v>78</v>
      </c>
      <c r="L9" s="15">
        <f>COUNTA(C4:C10)</f>
        <v>7</v>
      </c>
      <c r="M9" s="9" t="s">
        <v>44</v>
      </c>
    </row>
    <row r="10" spans="1:13" x14ac:dyDescent="0.35">
      <c r="B10" s="6" t="s">
        <v>72</v>
      </c>
      <c r="C10" s="7" t="s">
        <v>6</v>
      </c>
      <c r="D10" s="11" t="s">
        <v>60</v>
      </c>
      <c r="E10" s="8">
        <v>21</v>
      </c>
      <c r="F10" s="8">
        <v>4</v>
      </c>
      <c r="G10" s="15">
        <v>5700000</v>
      </c>
      <c r="H10" s="10" t="s">
        <v>57</v>
      </c>
      <c r="I10" s="9" t="str">
        <v>Needs Improvement</v>
      </c>
      <c r="K10" s="9"/>
      <c r="L10" s="15"/>
      <c r="M10" s="9"/>
    </row>
    <row r="11" spans="1:13" x14ac:dyDescent="0.35">
      <c r="D11" s="2"/>
      <c r="K11" s="9" t="s">
        <v>80</v>
      </c>
      <c r="L11" s="15">
        <f>SUMIF(D4:D10,"IT",G4:G10)</f>
        <v>15800000</v>
      </c>
      <c r="M11" s="9" t="s">
        <v>1</v>
      </c>
    </row>
    <row r="12" spans="1:13" x14ac:dyDescent="0.35">
      <c r="D12" s="3"/>
      <c r="G12" s="1"/>
      <c r="K12" s="9" t="s">
        <v>81</v>
      </c>
      <c r="L12" s="15">
        <f>COUNTIF(H4:H10,"Permanent")</f>
        <v>4</v>
      </c>
      <c r="M12" s="9" t="s">
        <v>45</v>
      </c>
    </row>
    <row r="13" spans="1:13" x14ac:dyDescent="0.35">
      <c r="A13" s="1"/>
      <c r="D13" s="3"/>
      <c r="K13" s="9" t="s">
        <v>82</v>
      </c>
      <c r="L13" s="15">
        <f>AVERAGEIF(D4:D10,"Finance",G4:G10)</f>
        <v>6350000</v>
      </c>
      <c r="M13" s="9" t="s">
        <v>46</v>
      </c>
    </row>
    <row r="14" spans="1:13" x14ac:dyDescent="0.35">
      <c r="D14" s="3"/>
    </row>
    <row r="15" spans="1:13" x14ac:dyDescent="0.35">
      <c r="A15" s="1"/>
      <c r="D15" s="3"/>
    </row>
    <row r="16" spans="1:13" x14ac:dyDescent="0.35">
      <c r="D16" s="3"/>
    </row>
    <row r="17" spans="1:1" x14ac:dyDescent="0.35">
      <c r="A17" s="1"/>
    </row>
    <row r="19" spans="1:1" x14ac:dyDescent="0.35">
      <c r="A19" s="1"/>
    </row>
    <row r="21" spans="1:1" x14ac:dyDescent="0.35">
      <c r="A21" s="1"/>
    </row>
    <row r="23" spans="1:1" x14ac:dyDescent="0.35">
      <c r="A23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6900-B2ED-4C5B-B81C-D331D8958F68}">
  <dimension ref="A1:M23"/>
  <sheetViews>
    <sheetView tabSelected="1" topLeftCell="G1" workbookViewId="0">
      <selection activeCell="I13" sqref="I13"/>
    </sheetView>
  </sheetViews>
  <sheetFormatPr defaultRowHeight="14.5" x14ac:dyDescent="0.35"/>
  <cols>
    <col min="1" max="1" width="1.7265625" customWidth="1"/>
    <col min="2" max="2" width="11.36328125" customWidth="1"/>
    <col min="3" max="3" width="12.90625" customWidth="1"/>
    <col min="4" max="4" width="9.81640625" customWidth="1"/>
    <col min="5" max="5" width="12.453125" customWidth="1"/>
    <col min="7" max="7" width="10.36328125" bestFit="1" customWidth="1"/>
    <col min="8" max="8" width="14.453125" bestFit="1" customWidth="1"/>
    <col min="9" max="9" width="11.36328125" customWidth="1"/>
    <col min="10" max="10" width="4.453125" customWidth="1"/>
    <col min="11" max="11" width="24.81640625" bestFit="1" customWidth="1"/>
    <col min="12" max="12" width="10.1796875" bestFit="1" customWidth="1"/>
    <col min="13" max="13" width="9.90625" bestFit="1" customWidth="1"/>
  </cols>
  <sheetData>
    <row r="1" spans="1:13" x14ac:dyDescent="0.35">
      <c r="A1" s="1"/>
      <c r="B1" s="1"/>
      <c r="C1" s="1"/>
      <c r="D1" s="1"/>
      <c r="E1" s="1"/>
      <c r="F1" s="1"/>
      <c r="G1" s="1"/>
    </row>
    <row r="2" spans="1:13" ht="34.5" x14ac:dyDescent="0.8">
      <c r="B2" s="4" t="s">
        <v>112</v>
      </c>
      <c r="J2" s="1"/>
      <c r="K2" s="4" t="s">
        <v>27</v>
      </c>
    </row>
    <row r="3" spans="1:13" x14ac:dyDescent="0.35">
      <c r="B3" s="16" t="s">
        <v>83</v>
      </c>
      <c r="C3" s="16" t="s">
        <v>84</v>
      </c>
      <c r="D3" s="16" t="s">
        <v>85</v>
      </c>
      <c r="E3" s="16" t="s">
        <v>10</v>
      </c>
      <c r="F3" s="16" t="s">
        <v>13</v>
      </c>
      <c r="G3" s="16" t="s">
        <v>86</v>
      </c>
      <c r="H3" s="16" t="s">
        <v>87</v>
      </c>
      <c r="I3" s="17" t="s">
        <v>79</v>
      </c>
      <c r="J3" s="1"/>
      <c r="K3" s="18" t="s">
        <v>11</v>
      </c>
      <c r="L3" s="18" t="s">
        <v>28</v>
      </c>
      <c r="M3" s="18" t="s">
        <v>29</v>
      </c>
    </row>
    <row r="4" spans="1:13" x14ac:dyDescent="0.35">
      <c r="B4" s="6" t="s">
        <v>88</v>
      </c>
      <c r="C4" s="7" t="s">
        <v>89</v>
      </c>
      <c r="D4" s="7" t="s">
        <v>2</v>
      </c>
      <c r="E4" s="7" t="s">
        <v>90</v>
      </c>
      <c r="F4" s="8">
        <v>2</v>
      </c>
      <c r="G4" s="15">
        <v>450000</v>
      </c>
      <c r="H4" s="10" t="s">
        <v>91</v>
      </c>
      <c r="I4" s="9" t="str" cm="1">
        <f t="array" ref="I4:I10">IF(G4:G10&gt;1000000,"High Value","Regular")</f>
        <v>Regular</v>
      </c>
      <c r="K4" s="9" t="s">
        <v>113</v>
      </c>
      <c r="L4" s="15">
        <f>SUM(G4:G10)</f>
        <v>5950000</v>
      </c>
      <c r="M4" s="9" t="s">
        <v>0</v>
      </c>
    </row>
    <row r="5" spans="1:13" x14ac:dyDescent="0.35">
      <c r="B5" s="6" t="s">
        <v>92</v>
      </c>
      <c r="C5" s="7" t="s">
        <v>93</v>
      </c>
      <c r="D5" s="7" t="s">
        <v>3</v>
      </c>
      <c r="E5" s="7" t="s">
        <v>94</v>
      </c>
      <c r="F5" s="8">
        <v>1</v>
      </c>
      <c r="G5" s="15">
        <v>150000</v>
      </c>
      <c r="H5" s="10" t="s">
        <v>95</v>
      </c>
      <c r="I5" s="9" t="str">
        <v>Regular</v>
      </c>
      <c r="K5" s="9" t="s">
        <v>114</v>
      </c>
      <c r="L5" s="15">
        <f>AVERAGE(G4:G10)</f>
        <v>850000</v>
      </c>
      <c r="M5" s="9" t="s">
        <v>40</v>
      </c>
    </row>
    <row r="6" spans="1:13" x14ac:dyDescent="0.35">
      <c r="B6" s="6" t="s">
        <v>96</v>
      </c>
      <c r="C6" s="7" t="s">
        <v>97</v>
      </c>
      <c r="D6" s="7" t="s">
        <v>7</v>
      </c>
      <c r="E6" s="7" t="s">
        <v>98</v>
      </c>
      <c r="F6" s="8">
        <v>1</v>
      </c>
      <c r="G6" s="15">
        <v>2200000</v>
      </c>
      <c r="H6" s="10" t="s">
        <v>91</v>
      </c>
      <c r="I6" s="9" t="str">
        <v>High Value</v>
      </c>
      <c r="K6" s="9" t="s">
        <v>115</v>
      </c>
      <c r="L6" s="15">
        <f>MIN(G4:G10)</f>
        <v>150000</v>
      </c>
      <c r="M6" s="9" t="s">
        <v>41</v>
      </c>
    </row>
    <row r="7" spans="1:13" x14ac:dyDescent="0.35">
      <c r="B7" s="6" t="s">
        <v>99</v>
      </c>
      <c r="C7" s="7" t="s">
        <v>100</v>
      </c>
      <c r="D7" s="7" t="s">
        <v>2</v>
      </c>
      <c r="E7" s="7" t="s">
        <v>101</v>
      </c>
      <c r="F7" s="8">
        <v>3</v>
      </c>
      <c r="G7" s="15">
        <v>900000</v>
      </c>
      <c r="H7" s="10" t="s">
        <v>91</v>
      </c>
      <c r="I7" s="9" t="str">
        <v>Regular</v>
      </c>
      <c r="K7" s="9" t="s">
        <v>116</v>
      </c>
      <c r="L7" s="15">
        <f>MAX(G4:G10)</f>
        <v>2200000</v>
      </c>
      <c r="M7" s="9" t="s">
        <v>42</v>
      </c>
    </row>
    <row r="8" spans="1:13" x14ac:dyDescent="0.35">
      <c r="B8" s="6" t="s">
        <v>102</v>
      </c>
      <c r="C8" s="7" t="s">
        <v>103</v>
      </c>
      <c r="D8" s="7" t="s">
        <v>3</v>
      </c>
      <c r="E8" s="7" t="s">
        <v>104</v>
      </c>
      <c r="F8" s="8">
        <v>2</v>
      </c>
      <c r="G8" s="15">
        <v>700000</v>
      </c>
      <c r="H8" s="10" t="s">
        <v>95</v>
      </c>
      <c r="I8" s="9" t="str">
        <v>Regular</v>
      </c>
      <c r="K8" s="9" t="s">
        <v>117</v>
      </c>
      <c r="L8" s="15">
        <f>COUNT(G4:G10)</f>
        <v>7</v>
      </c>
      <c r="M8" s="9" t="s">
        <v>43</v>
      </c>
    </row>
    <row r="9" spans="1:13" x14ac:dyDescent="0.35">
      <c r="B9" s="6" t="s">
        <v>105</v>
      </c>
      <c r="C9" s="7" t="s">
        <v>106</v>
      </c>
      <c r="D9" s="7" t="s">
        <v>107</v>
      </c>
      <c r="E9" s="7" t="s">
        <v>108</v>
      </c>
      <c r="F9" s="8">
        <v>1</v>
      </c>
      <c r="G9" s="15">
        <v>350000</v>
      </c>
      <c r="H9" s="10" t="s">
        <v>91</v>
      </c>
      <c r="I9" s="9" t="str">
        <v>Regular</v>
      </c>
      <c r="K9" s="9" t="s">
        <v>118</v>
      </c>
      <c r="L9" s="15">
        <f>COUNTA(C4:C10)</f>
        <v>7</v>
      </c>
      <c r="M9" s="9" t="s">
        <v>44</v>
      </c>
    </row>
    <row r="10" spans="1:13" x14ac:dyDescent="0.35">
      <c r="B10" s="6" t="s">
        <v>109</v>
      </c>
      <c r="C10" s="7" t="s">
        <v>110</v>
      </c>
      <c r="D10" s="11" t="s">
        <v>2</v>
      </c>
      <c r="E10" s="7" t="s">
        <v>111</v>
      </c>
      <c r="F10" s="8">
        <v>2</v>
      </c>
      <c r="G10" s="15">
        <v>1200000</v>
      </c>
      <c r="H10" s="10" t="s">
        <v>91</v>
      </c>
      <c r="I10" s="9" t="str">
        <v>High Value</v>
      </c>
      <c r="K10" s="9"/>
      <c r="L10" s="15"/>
      <c r="M10" s="9"/>
    </row>
    <row r="11" spans="1:13" x14ac:dyDescent="0.35">
      <c r="D11" s="2"/>
      <c r="K11" s="9" t="s">
        <v>119</v>
      </c>
      <c r="L11" s="15">
        <f>SUMIF(D4:D10,"Jakarta",G4:G10)</f>
        <v>2550000</v>
      </c>
      <c r="M11" s="9" t="s">
        <v>1</v>
      </c>
    </row>
    <row r="12" spans="1:13" x14ac:dyDescent="0.35">
      <c r="D12" s="3"/>
      <c r="G12" s="1"/>
      <c r="K12" s="9" t="s">
        <v>120</v>
      </c>
      <c r="L12" s="15">
        <f>COUNTIF(H4:H10,"Paid")</f>
        <v>5</v>
      </c>
      <c r="M12" s="9" t="s">
        <v>45</v>
      </c>
    </row>
    <row r="13" spans="1:13" x14ac:dyDescent="0.35">
      <c r="A13" s="1"/>
      <c r="D13" s="3"/>
      <c r="K13" s="9" t="s">
        <v>121</v>
      </c>
      <c r="L13" s="15">
        <f>AVERAGEIF(D4:D10,"Bandung",G4:G10)</f>
        <v>425000</v>
      </c>
      <c r="M13" s="9" t="s">
        <v>46</v>
      </c>
    </row>
    <row r="14" spans="1:13" x14ac:dyDescent="0.35">
      <c r="D14" s="3"/>
    </row>
    <row r="15" spans="1:13" x14ac:dyDescent="0.35">
      <c r="A15" s="1"/>
      <c r="D15" s="3"/>
    </row>
    <row r="16" spans="1:13" x14ac:dyDescent="0.35">
      <c r="D16" s="3"/>
    </row>
    <row r="17" spans="1:1" x14ac:dyDescent="0.35">
      <c r="A17" s="1"/>
    </row>
    <row r="19" spans="1:1" x14ac:dyDescent="0.35">
      <c r="A19" s="1"/>
    </row>
    <row r="21" spans="1:1" x14ac:dyDescent="0.35">
      <c r="A21" s="1"/>
    </row>
    <row r="23" spans="1:1" x14ac:dyDescent="0.35">
      <c r="A2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 2</vt:lpstr>
      <vt:lpstr>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 Im Jessie</dc:creator>
  <cp:lastModifiedBy>Hy Im Jessie</cp:lastModifiedBy>
  <dcterms:created xsi:type="dcterms:W3CDTF">2026-05-14T09:12:29Z</dcterms:created>
  <dcterms:modified xsi:type="dcterms:W3CDTF">2026-05-16T07:05:36Z</dcterms:modified>
</cp:coreProperties>
</file>